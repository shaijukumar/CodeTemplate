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\CodeTemplate\"/>
    </mc:Choice>
  </mc:AlternateContent>
  <bookViews>
    <workbookView xWindow="0" yWindow="0" windowWidth="9345" windowHeight="4260" firstSheet="3" activeTab="5"/>
  </bookViews>
  <sheets>
    <sheet name="Category" sheetId="3" r:id="rId1"/>
    <sheet name="page" sheetId="1" r:id="rId2"/>
    <sheet name="TestApp" sheetId="5" r:id="rId3"/>
    <sheet name="UserSupplier" sheetId="6" r:id="rId4"/>
    <sheet name="TimeTable" sheetId="7" r:id="rId5"/>
    <sheet name="OrderMaster" sheetId="8" r:id="rId6"/>
    <sheet name="OrderTransactions" sheetId="9" r:id="rId7"/>
    <sheet name="OrderAttachments" sheetId="10" r:id="rId8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0" l="1"/>
  <c r="F4" i="9"/>
  <c r="F4" i="8"/>
  <c r="F4" i="7" l="1"/>
  <c r="F4" i="6"/>
  <c r="F4" i="5" l="1"/>
  <c r="L2" i="3" l="1"/>
  <c r="G15" i="3" l="1"/>
  <c r="J12" i="3"/>
  <c r="J11" i="3"/>
  <c r="J10" i="3"/>
  <c r="D10" i="3"/>
  <c r="J9" i="3"/>
  <c r="D9" i="3"/>
  <c r="J8" i="3"/>
  <c r="D8" i="3"/>
  <c r="E7" i="3"/>
  <c r="D7" i="3"/>
  <c r="D6" i="3"/>
  <c r="K2" i="3"/>
  <c r="J2" i="3"/>
  <c r="I2" i="3"/>
  <c r="H2" i="3"/>
  <c r="G2" i="3"/>
  <c r="F2" i="3"/>
  <c r="D2" i="3"/>
  <c r="G15" i="1" l="1"/>
  <c r="E7" i="1"/>
  <c r="F2" i="1"/>
  <c r="D8" i="1"/>
  <c r="D9" i="1"/>
  <c r="D10" i="1"/>
  <c r="D11" i="1"/>
  <c r="D12" i="1"/>
  <c r="D13" i="1"/>
  <c r="D7" i="1"/>
  <c r="D6" i="1"/>
  <c r="D2" i="1"/>
  <c r="L2" i="1"/>
  <c r="K2" i="1"/>
  <c r="I2" i="1"/>
  <c r="H2" i="1"/>
  <c r="G2" i="1"/>
  <c r="J2" i="1"/>
  <c r="J8" i="1"/>
  <c r="J9" i="1"/>
  <c r="J10" i="1"/>
  <c r="J11" i="1"/>
  <c r="J12" i="1"/>
</calcChain>
</file>

<file path=xl/sharedStrings.xml><?xml version="1.0" encoding="utf-8"?>
<sst xmlns="http://schemas.openxmlformats.org/spreadsheetml/2006/main" count="411" uniqueCount="137">
  <si>
    <t>Id</t>
  </si>
  <si>
    <t>Title</t>
  </si>
  <si>
    <t>Description</t>
  </si>
  <si>
    <t>CategoryId</t>
  </si>
  <si>
    <t>URLTitle</t>
  </si>
  <si>
    <t>PageHtml</t>
  </si>
  <si>
    <t>page</t>
  </si>
  <si>
    <t>Guid</t>
  </si>
  <si>
    <t>string</t>
  </si>
  <si>
    <t>Persistence\DataContext.cs</t>
  </si>
  <si>
    <t>create folder</t>
  </si>
  <si>
    <t xml:space="preserve">Create Controller </t>
  </si>
  <si>
    <t>Page</t>
  </si>
  <si>
    <t>Class</t>
  </si>
  <si>
    <t>Object</t>
  </si>
  <si>
    <t xml:space="preserve"> }
}</t>
  </si>
  <si>
    <t xml:space="preserve">using System.Threading;
using System.Threading.Tasks;
using MediatR;
using Persistence;
using Domain;
using System.Collections.Generic;
using Microsoft.EntityFrameworkCore;
namespace Application.##Class##s
{
    public class List
    {
        public class Query : IRequest&lt;List&lt;Domain.##Class##&gt;&gt; { }
        public class Handler : IRequestHandler&lt;Query, List&lt;Domain.##Class##&gt;&gt;
        {
            private readonly DataContext _context;
            public Handler(DataContext context)
            {
                _context = context;
            }
            public async Task&lt;List&lt;Domain.##Class##&gt;&gt; Handle(Query request, CancellationToken cancellationToken)
            {
                var ##Object##s = await _context.##Class##s
                    .ToListAsync();
                return ##Object##s;
            }
        }
    }
}
</t>
  </si>
  <si>
    <t>PageCategory</t>
  </si>
  <si>
    <t>pageCategory</t>
  </si>
  <si>
    <t>Parent</t>
  </si>
  <si>
    <t>Children</t>
  </si>
  <si>
    <t>virtual HashSet&lt;PageCategory&gt;</t>
  </si>
  <si>
    <t>virtual PageCategory</t>
  </si>
  <si>
    <t>D:\Shaiju\DotNetCore\Reactivities\docs\1</t>
  </si>
  <si>
    <t>UserSupplier</t>
  </si>
  <si>
    <t>userSupplier</t>
  </si>
  <si>
    <t xml:space="preserve">Sub file()
'CSFieldList
Let CSFieldList = ""
Let i = 7
Do While Cells(i, 2) &lt;&gt; ""
    CSFieldList = CSFieldList + Chr$(10) + Cells(i, 4)
     i = i + 1
Loop
'Constants
Let Class = Cells(1, 2)
Let Object = Cells(2, 2)
Let templatePath = Cells(2, 4)
Let appPath = Cells(1, 4)
Let FolderPath = Cells(2, 6)
'Create Folders if not exits
FolderPath = appPath &amp; "\" &amp; FolderPath
'Application Folder
On Error Resume Next
MkDir appPath
On Error GoTo 0
'API Folder
On Error Resume Next
MkDir appPath &amp; "API"
On Error GoTo 0
'Model Folder
On Error Resume Next
MkDir appPath &amp; "API\" &amp; "Model"
On Error GoTo 0
'Features Folder
On Error Resume Next
MkDir appPath &amp; "API\" &amp; "Features"
On Error GoTo 0
'Controllers Folder
On Error Resume Next
MkDir appPath &amp; "API\" &amp; "Controllers"
On Error GoTo 0
'Featur Folder
On Error Resume Next
MkDir appPath &amp; "API\" &amp; "Features\" &amp; Class
On Error GoTo 0
i = 7
'FilePath = templatePath + Cells(4, i)
'Read template File
Dim strFilename As String: strFilename = templatePath + Cells(4, i)
Dim strFileContent As String
Dim iFile As Integer: iFile = FreeFile
Open strFilename For Input As #iFile
fileContent = Input(LOF(iFile), iFile)
Close #iFile
'Update template
fileContent = Replace(fileContent, "##CSFieldList##", CSFieldList)
fileContent = Replace(fileContent, "##Class##", Class)
fileContent = Replace(fileContent, "##Object##", Object)
'Write to application file
Open appPath &amp; Cells(2, i) For Output As #1
Print #1, fileContent
Close #1
Cells(20, i) = fileContent
'    Dim appPath As String
'
'
'
'    FolderPath = appPath &amp; "\" &amp; FolderPath
'
'    On Error Resume Next
'    MkDir FolderPath
'    On Error GoTo 0
'
'
'    For i = 7 To 12
'        filePath = appPath &amp; "\" &amp; Cells(2, i)
'        Open filePath For Output As #1
'
'        fileContent = Cells(15, i)
'        Print #1, fileContent
'        Close #1
'    Next i
'
'    MsgBox ("Done")
End Sub
</t>
  </si>
  <si>
    <t>TestApp</t>
  </si>
  <si>
    <t>testApp</t>
  </si>
  <si>
    <t>Field</t>
  </si>
  <si>
    <t>Data Type</t>
  </si>
  <si>
    <t>Required</t>
  </si>
  <si>
    <t>Yes</t>
  </si>
  <si>
    <t>TemplatePath</t>
  </si>
  <si>
    <t>D:\Git\CodeTemplate</t>
  </si>
  <si>
    <t>D:\Git\B2B\B2bApi</t>
  </si>
  <si>
    <t>API Proj Path</t>
  </si>
  <si>
    <t>Mobile Proj Path</t>
  </si>
  <si>
    <t>Web Proj Path</t>
  </si>
  <si>
    <t>Created</t>
  </si>
  <si>
    <t>File path</t>
  </si>
  <si>
    <t>Column1</t>
  </si>
  <si>
    <t>TitleField</t>
  </si>
  <si>
    <t>D:\Git\CodeTemplate\Test\WebApp</t>
  </si>
  <si>
    <t>D:\Git\B2B\B2bApp</t>
  </si>
  <si>
    <t>JS Datatype</t>
  </si>
  <si>
    <t>D:\Git\B2B\B2bApi\API\Model\TestApp.cs</t>
  </si>
  <si>
    <t>D:\Git\B2B\B2bApi\API\Features\TestApp\TestAppDto.cs</t>
  </si>
  <si>
    <t>D:\Git\B2B\B2bApi\API\Features\TestApp\List.cs</t>
  </si>
  <si>
    <t>D:\Git\B2B\B2bApi\API\Features\TestApp\Details.cs</t>
  </si>
  <si>
    <t>D:\Git\B2B\B2bApi\API\Features\TestApp\Create.cs</t>
  </si>
  <si>
    <t>D:\Git\B2B\B2bApi\API\Features\TestApp\Edit.cs</t>
  </si>
  <si>
    <t>D:\Git\B2B\B2bApi\API\Features\TestApp\Delete.cs</t>
  </si>
  <si>
    <t>D:\Git\B2B\B2bApi\API\Controllers\TestAppController.cs</t>
  </si>
  <si>
    <t>D:\Git\B2B\B2bApi\API\Features\TestApp\MappingProfile.cs</t>
  </si>
  <si>
    <t>D:\Git\B2B\B2bApp\app\screens\TestApp\TestApp.ts</t>
  </si>
  <si>
    <t>D:\Git\B2B\B2bApp\app\screens\TestApp\TestAppStore.ts</t>
  </si>
  <si>
    <t>D:\Git\B2B\B2bApp\app\screens\TestApp\TestAppListing.tsx</t>
  </si>
  <si>
    <t>D:\Git\B2B\B2bApp\app\screens\TestApp\TestAppEdit.tsx</t>
  </si>
  <si>
    <t>Updated</t>
  </si>
  <si>
    <t>D:\Git\B2B\B2bApi\API\Data\DataContext.cs</t>
  </si>
  <si>
    <t>D:\Git\B2B\B2bApp\app\Navigation\NavigationMain.tsx</t>
  </si>
  <si>
    <t>Supplier</t>
  </si>
  <si>
    <t xml:space="preserve">AppUser </t>
  </si>
  <si>
    <t>JSFiled</t>
  </si>
  <si>
    <t>Period</t>
  </si>
  <si>
    <t>Start Time</t>
  </si>
  <si>
    <t>End Time</t>
  </si>
  <si>
    <t xml:space="preserve">Subject </t>
  </si>
  <si>
    <t>DateTime</t>
  </si>
  <si>
    <t>Reseller</t>
  </si>
  <si>
    <t>Catalog</t>
  </si>
  <si>
    <t>Qty</t>
  </si>
  <si>
    <t>number</t>
  </si>
  <si>
    <t>Size</t>
  </si>
  <si>
    <t>Color</t>
  </si>
  <si>
    <t>ShippingAddress</t>
  </si>
  <si>
    <t>BillingAddress</t>
  </si>
  <si>
    <t>Status</t>
  </si>
  <si>
    <t>TimeStamp</t>
  </si>
  <si>
    <t>Action</t>
  </si>
  <si>
    <t>Comment</t>
  </si>
  <si>
    <t>OrderTransactions</t>
  </si>
  <si>
    <t>orderTransactions</t>
  </si>
  <si>
    <t>OrderMaster</t>
  </si>
  <si>
    <t>orderMaster</t>
  </si>
  <si>
    <t>Attachments</t>
  </si>
  <si>
    <t>OrderAttachments</t>
  </si>
  <si>
    <t>Url</t>
  </si>
  <si>
    <t>AttachmentType</t>
  </si>
  <si>
    <t>orderAttachments</t>
  </si>
  <si>
    <t>JS Field</t>
  </si>
  <si>
    <t>D:\Git\B2B\B2bApi\API\Model\OrderAttachments.cs</t>
  </si>
  <si>
    <t>D:\Git\B2B\B2bApi\API\Features\OrderAttachments\OrderAttachmentsDto.cs</t>
  </si>
  <si>
    <t>D:\Git\B2B\B2bApi\API\Features\OrderAttachments\List.cs</t>
  </si>
  <si>
    <t>D:\Git\B2B\B2bApi\API\Features\OrderAttachments\Details.cs</t>
  </si>
  <si>
    <t>D:\Git\B2B\B2bApi\API\Features\OrderAttachments\Create.cs</t>
  </si>
  <si>
    <t>D:\Git\B2B\B2bApi\API\Features\OrderAttachments\Edit.cs</t>
  </si>
  <si>
    <t>D:\Git\B2B\B2bApi\API\Features\OrderAttachments\Delete.cs</t>
  </si>
  <si>
    <t>D:\Git\B2B\B2bApi\API\Controllers\OrderAttachmentsController.cs</t>
  </si>
  <si>
    <t>D:\Git\B2B\B2bApi\API\Features\OrderAttachments\MappingProfile.cs</t>
  </si>
  <si>
    <t>D:\Git\B2B\B2bApp\app\features\OrderAttachments\OrderAttachments.ts</t>
  </si>
  <si>
    <t>D:\Git\B2B\B2bApp\app\features\OrderAttachments\OrderAttachmentsStore.ts</t>
  </si>
  <si>
    <t>D:\Git\B2B\B2bApp\app\features\OrderAttachments\OrderAttachmentsListing.tsx</t>
  </si>
  <si>
    <t>D:\Git\B2B\B2bApp\app\features\OrderAttachments\OrderAttachmentsEdit.tsx</t>
  </si>
  <si>
    <t>D:\Git\B2B\B2bApi\app\common\data\rootStore.ts</t>
  </si>
  <si>
    <t>virtual AppUser</t>
  </si>
  <si>
    <t>virtual Catalog</t>
  </si>
  <si>
    <t>Transactions</t>
  </si>
  <si>
    <t>JS Datatype2</t>
  </si>
  <si>
    <t>IOrderAttachments[]</t>
  </si>
  <si>
    <t>D:\Git\B2B\B2bApi\API\Model\OrderTransactions.cs</t>
  </si>
  <si>
    <t>D:\Git\B2B\B2bApi\API\Features\OrderTransactions\OrderTransactionsDto.cs</t>
  </si>
  <si>
    <t>D:\Git\B2B\B2bApi\API\Features\OrderTransactions\List.cs</t>
  </si>
  <si>
    <t>D:\Git\B2B\B2bApi\API\Features\OrderTransactions\Details.cs</t>
  </si>
  <si>
    <t>D:\Git\B2B\B2bApi\API\Features\OrderTransactions\Create.cs</t>
  </si>
  <si>
    <t>D:\Git\B2B\B2bApi\API\Features\OrderTransactions\Edit.cs</t>
  </si>
  <si>
    <t>D:\Git\B2B\B2bApi\API\Features\OrderTransactions\Delete.cs</t>
  </si>
  <si>
    <t>D:\Git\B2B\B2bApi\API\Controllers\OrderTransactionsController.cs</t>
  </si>
  <si>
    <t>D:\Git\B2B\B2bApi\API\Features\OrderTransactions\MappingProfile.cs</t>
  </si>
  <si>
    <t>D:\Git\B2B\B2bApp\app\features\OrderTransactions\OrderTransactions.ts</t>
  </si>
  <si>
    <t>D:\Git\B2B\B2bApp\app\features\OrderTransactions\OrderTransactionsStore.ts</t>
  </si>
  <si>
    <t>IOrderTransactions[]</t>
  </si>
  <si>
    <t>virtual ICollection&lt;OrderAttachments&gt;</t>
  </si>
  <si>
    <t>virtual ICollection&lt;OrderTransactions&gt;</t>
  </si>
  <si>
    <t>D:\Git\B2B\B2bApi\API\Model\OrderMaster.cs</t>
  </si>
  <si>
    <t>D:\Git\B2B\B2bApi\API\Features\OrderMaster\OrderMasterDto.cs</t>
  </si>
  <si>
    <t>D:\Git\B2B\B2bApi\API\Features\OrderMaster\List.cs</t>
  </si>
  <si>
    <t>D:\Git\B2B\B2bApi\API\Features\OrderMaster\Details.cs</t>
  </si>
  <si>
    <t>D:\Git\B2B\B2bApi\API\Features\OrderMaster\Create.cs</t>
  </si>
  <si>
    <t>D:\Git\B2B\B2bApi\API\Features\OrderMaster\Edit.cs</t>
  </si>
  <si>
    <t>D:\Git\B2B\B2bApi\API\Features\OrderMaster\Delete.cs</t>
  </si>
  <si>
    <t>D:\Git\B2B\B2bApi\API\Controllers\OrderMasterController.cs</t>
  </si>
  <si>
    <t>D:\Git\B2B\B2bApi\API\Features\OrderMaster\MappingProfile.cs</t>
  </si>
  <si>
    <t>D:\Git\B2B\B2bApp\app\features\OrderMaster\OrderMaster.ts</t>
  </si>
  <si>
    <t>D:\Git\B2B\B2bApp\app\features\OrderMaster\OrderMasterStore.ts</t>
  </si>
  <si>
    <t>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</si>
</sst>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0" fillId="0" borderId="1" xfId="0" applyBorder="1"/>
    <xf numFmtId="0" fontId="0" fillId="2" borderId="1" xfId="0" applyFill="1" applyBorder="1"/>
    <xf numFmtId="0" fontId="0" fillId="0" borderId="0" xfId="0" applyFill="1" applyBorder="1"/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/>
    <xf numFmtId="0" fontId="1" fillId="0" borderId="0" xfId="0" applyFont="1" applyFill="1" applyAlignment="1"/>
    <xf numFmtId="0" fontId="2" fillId="0" borderId="0" xfId="0" applyFont="1" applyFill="1" applyAlignment="1"/>
    <xf numFmtId="0" fontId="1" fillId="0" borderId="0" xfId="0" applyFont="1"/>
    <xf numFmtId="0" fontId="1" fillId="0" borderId="0" xfId="0" applyFont="1" applyFill="1" applyAlignment="1">
      <alignment wrapText="1"/>
    </xf>
    <xf numFmtId="0" fontId="3" fillId="0" borderId="0" xfId="0" applyFont="1" applyAlignment="1">
      <alignment horizontal="center"/>
    </xf>
    <xf numFmtId="0" fontId="4" fillId="3" borderId="1" xfId="0" applyFont="1" applyFill="1" applyBorder="1" applyAlignment="1">
      <alignment horizontal="left" indent="1"/>
    </xf>
    <xf numFmtId="0" fontId="0" fillId="0" borderId="1" xfId="0" applyFont="1" applyBorder="1" applyAlignment="1"/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3" name="Table3" displayName="Table3" ref="B7:F13" totalsRowShown="0">
  <autoFilter ref="B7:F13"/>
  <tableColumns count="5">
    <tableColumn id="1" name="Field"/>
    <tableColumn id="2" name="Data Type"/>
    <tableColumn id="4" name="Required"/>
    <tableColumn id="3" name="JS Datatype"/>
    <tableColumn id="5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32" displayName="Table32" ref="B7:F13" totalsRowShown="0">
  <autoFilter ref="B7:F13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323" displayName="Table323" ref="B7:F11" totalsRowShown="0">
  <autoFilter ref="B7:F11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B7:F18" totalsRowShown="0">
  <autoFilter ref="B7:F18"/>
  <tableColumns count="5">
    <tableColumn id="1" name="Field"/>
    <tableColumn id="2" name="Data Type"/>
    <tableColumn id="4" name="Required"/>
    <tableColumn id="3" name="JS Datatype"/>
    <tableColumn id="5" name="JS Datatype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356" displayName="Table356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3567" displayName="Table3567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4"/>
  <sheetViews>
    <sheetView workbookViewId="0">
      <selection activeCell="C20" sqref="C20"/>
    </sheetView>
  </sheetViews>
  <sheetFormatPr defaultRowHeight="15" x14ac:dyDescent="0.25"/>
  <cols>
    <col min="2" max="2" width="17.85546875" customWidth="1"/>
    <col min="3" max="3" width="29" bestFit="1" customWidth="1"/>
    <col min="4" max="4" width="50.85546875" bestFit="1" customWidth="1"/>
    <col min="5" max="5" width="51" bestFit="1" customWidth="1"/>
    <col min="6" max="6" width="27.7109375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41.42578125" customWidth="1"/>
  </cols>
  <sheetData>
    <row r="1" spans="1:12" x14ac:dyDescent="0.25">
      <c r="A1" s="2" t="s">
        <v>13</v>
      </c>
      <c r="B1" s="2" t="s">
        <v>17</v>
      </c>
      <c r="D1" s="1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18</v>
      </c>
      <c r="D2" s="1" t="str">
        <f>"Domain\" &amp; $B$1 &amp; ".cs"</f>
        <v>Domain\PageCategory.cs</v>
      </c>
      <c r="E2" s="1" t="s">
        <v>9</v>
      </c>
      <c r="F2" s="1" t="str">
        <f>"Application\" &amp; $B$1</f>
        <v>Application\PageCategory</v>
      </c>
      <c r="G2" s="1" t="str">
        <f>"Application\" &amp; $B$2 &amp; "\List.cs"</f>
        <v>Application\pageCategory\List.cs</v>
      </c>
      <c r="H2" s="1" t="str">
        <f>"Application\" &amp; $B$2 &amp; "\Details.cs"</f>
        <v>Application\pageCategory\Details.cs</v>
      </c>
      <c r="I2" s="1" t="str">
        <f>"Application\" &amp; $B$2 &amp; "\Create.cs"</f>
        <v>Application\pageCategory\Create.cs</v>
      </c>
      <c r="J2" s="1" t="str">
        <f>"Application\" &amp; $B$2 &amp; "\Edit.cs"</f>
        <v>Application\pageCategory\Edit.cs</v>
      </c>
      <c r="K2" s="1" t="str">
        <f>"Application\" &amp; $B$2 &amp; "\Delete.cs"</f>
        <v>Application\pageCategory\Delete.cs</v>
      </c>
      <c r="L2" s="1" t="str">
        <f>"API\Controllers\" &amp; $B$1 &amp; "sController.cs"</f>
        <v>API\Controllers\PageCategorysController.cs</v>
      </c>
    </row>
    <row r="3" spans="1:12" s="5" customFormat="1" x14ac:dyDescent="0.25">
      <c r="A3" s="4"/>
      <c r="B3" s="4"/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PageCategory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DbSet&lt;PageCategory&gt; PageCategorys { get; set; }</v>
      </c>
      <c r="G7" s="6"/>
    </row>
    <row r="8" spans="1:12" x14ac:dyDescent="0.25">
      <c r="B8" t="s">
        <v>1</v>
      </c>
      <c r="C8" t="s">
        <v>8</v>
      </c>
      <c r="D8" t="str">
        <f t="shared" ref="D8:D10" si="0"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pageCategory.Title = request.Title ?? pageCategory.Title;</v>
      </c>
    </row>
    <row r="9" spans="1:12" x14ac:dyDescent="0.25">
      <c r="B9" t="s">
        <v>19</v>
      </c>
      <c r="C9" t="s">
        <v>22</v>
      </c>
      <c r="D9" t="str">
        <f t="shared" si="0"/>
        <v xml:space="preserve">        public virtual PageCategory Parent { get; set; }</v>
      </c>
      <c r="G9" s="6"/>
      <c r="J9" t="str">
        <f t="shared" ref="J9:J12" si="1" xml:space="preserve"> B$2 &amp;  "." &amp; B9 &amp; " = request." &amp; B9 &amp; " ?? " &amp; B$2 &amp; ".Title;"</f>
        <v>pageCategory.Parent = request.Parent ?? pageCategory.Title;</v>
      </c>
    </row>
    <row r="10" spans="1:12" x14ac:dyDescent="0.25">
      <c r="B10" t="s">
        <v>20</v>
      </c>
      <c r="C10" t="s">
        <v>21</v>
      </c>
      <c r="D10" t="str">
        <f t="shared" si="0"/>
        <v xml:space="preserve">        public virtual HashSet&lt;PageCategory&gt; Children { get; set; }</v>
      </c>
      <c r="G10" s="8"/>
      <c r="J10" t="str">
        <f t="shared" si="1"/>
        <v>pageCategory.Children = request.Children ?? pageCategory.Title;</v>
      </c>
    </row>
    <row r="11" spans="1:12" x14ac:dyDescent="0.25">
      <c r="G11" s="8"/>
      <c r="J11" t="str">
        <f t="shared" si="1"/>
        <v>pageCategory. = request. ?? pageCategory.Title;</v>
      </c>
    </row>
    <row r="12" spans="1:12" x14ac:dyDescent="0.25">
      <c r="G12" s="8"/>
      <c r="J12" t="str">
        <f t="shared" si="1"/>
        <v>pageCategory. = request. ?? pageCategory.Title;</v>
      </c>
    </row>
    <row r="13" spans="1:12" x14ac:dyDescent="0.25"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Application.PageCategorys
{
    public class List
    {
        public class Query : IRequest&lt;List&lt;Domain.PageCategory&gt;&gt; { }
        public class Handler : IRequestHandler&lt;Query, List&lt;Domain.PageCategory&gt;&gt;
        {
            private readonly DataContext _context;
            public Handler(DataContext context)
            {
                _context = context;
            }
            public async Task&lt;List&lt;Domain.PageCategory&gt;&gt; Handle(Query request, CancellationToken cancellationToken)
            {
                var pageCategorys = await _context.PageCategorys
                    .ToListAsync();
                return pageCategorys;
            }
        }
    }
}
</v>
      </c>
    </row>
    <row r="16" spans="1:12" ht="30" x14ac:dyDescent="0.25">
      <c r="D16" s="7" t="s">
        <v>15</v>
      </c>
      <c r="G16" s="9" t="s">
        <v>16</v>
      </c>
    </row>
    <row r="21" spans="1:12" x14ac:dyDescent="0.25">
      <c r="A21">
        <v>1</v>
      </c>
      <c r="B21">
        <v>2</v>
      </c>
      <c r="C21">
        <v>3</v>
      </c>
      <c r="D21">
        <v>4</v>
      </c>
      <c r="E21">
        <v>5</v>
      </c>
      <c r="F21">
        <v>6</v>
      </c>
      <c r="G21">
        <v>7</v>
      </c>
      <c r="H21">
        <v>8</v>
      </c>
      <c r="I21">
        <v>9</v>
      </c>
      <c r="J21">
        <v>10</v>
      </c>
      <c r="K21">
        <v>11</v>
      </c>
      <c r="L21">
        <v>12</v>
      </c>
    </row>
    <row r="24" spans="1:12" ht="409.5" x14ac:dyDescent="0.25">
      <c r="B24" s="7" t="s">
        <v>26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6"/>
  <sheetViews>
    <sheetView topLeftCell="A4" workbookViewId="0">
      <selection activeCell="H15" sqref="H15"/>
    </sheetView>
  </sheetViews>
  <sheetFormatPr defaultRowHeight="15" x14ac:dyDescent="0.25"/>
  <cols>
    <col min="2" max="3" width="17.85546875" customWidth="1"/>
    <col min="4" max="4" width="39.42578125" bestFit="1" customWidth="1"/>
    <col min="5" max="5" width="37.28515625" customWidth="1"/>
    <col min="6" max="6" width="16.42578125" bestFit="1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32.7109375" bestFit="1" customWidth="1"/>
  </cols>
  <sheetData>
    <row r="1" spans="1:12" x14ac:dyDescent="0.25">
      <c r="A1" s="2" t="s">
        <v>13</v>
      </c>
      <c r="B1" s="2" t="s">
        <v>12</v>
      </c>
      <c r="D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6</v>
      </c>
      <c r="D2" s="1" t="str">
        <f>"Domain\" &amp; $B$1 &amp; ".cs"</f>
        <v>Domain\Page.cs</v>
      </c>
      <c r="E2" s="1" t="s">
        <v>9</v>
      </c>
      <c r="F2" s="1" t="str">
        <f>"Application\" &amp; $B$1</f>
        <v>Application\Page</v>
      </c>
      <c r="G2" s="1" t="str">
        <f>"Application\" &amp; $B$2 &amp; "\List.cs"</f>
        <v>Application\page\List.cs</v>
      </c>
      <c r="H2" s="1" t="str">
        <f>"Application\" &amp; $B$2 &amp; "\Details.cs"</f>
        <v>Application\page\Details.cs</v>
      </c>
      <c r="I2" s="1" t="str">
        <f>"Application\" &amp; $B$2 &amp; "\Create.cs"</f>
        <v>Application\page\Create.cs</v>
      </c>
      <c r="J2" s="1" t="str">
        <f>"Application\" &amp; $B$2 &amp; "\Edit.cs"</f>
        <v>Application\page\Edit.cs</v>
      </c>
      <c r="K2" s="1" t="str">
        <f>"Application\" &amp; $B$2 &amp; "\Delete.cs"</f>
        <v>Application\page\Delete.cs</v>
      </c>
      <c r="L2" s="1" t="str">
        <f>"API\Controllers\" &amp; $B$2 &amp; "sController.cs"</f>
        <v>API\Controllers\pagesController.cs</v>
      </c>
    </row>
    <row r="3" spans="1:12" s="5" customFormat="1" x14ac:dyDescent="0.25">
      <c r="A3" s="4">
        <v>1</v>
      </c>
      <c r="B3" s="4">
        <v>2</v>
      </c>
      <c r="C3" s="4">
        <v>3</v>
      </c>
      <c r="D3" s="4">
        <v>4</v>
      </c>
      <c r="E3" s="4">
        <v>5</v>
      </c>
      <c r="F3" s="4">
        <v>6</v>
      </c>
      <c r="G3" s="4">
        <v>7</v>
      </c>
      <c r="H3" s="4">
        <v>8</v>
      </c>
      <c r="I3" s="4">
        <v>9</v>
      </c>
      <c r="J3" s="4">
        <v>10</v>
      </c>
      <c r="K3" s="4">
        <v>11</v>
      </c>
      <c r="L3" s="4">
        <v>12</v>
      </c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DbSet&lt;Page&gt; Pages { get; set; }</v>
      </c>
      <c r="G7" s="6"/>
    </row>
    <row r="8" spans="1:12" x14ac:dyDescent="0.25">
      <c r="B8" t="s">
        <v>1</v>
      </c>
      <c r="C8" t="s">
        <v>8</v>
      </c>
      <c r="D8" t="str">
        <f t="shared" ref="D8:D13" si="0"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page.Title = request.Title ?? page.Title;</v>
      </c>
    </row>
    <row r="9" spans="1:12" x14ac:dyDescent="0.25">
      <c r="B9" t="s">
        <v>2</v>
      </c>
      <c r="C9" t="s">
        <v>8</v>
      </c>
      <c r="D9" t="str">
        <f t="shared" si="0"/>
        <v xml:space="preserve">        public string Description { get; set; }</v>
      </c>
      <c r="G9" s="6"/>
      <c r="J9" t="str">
        <f t="shared" ref="J9:J12" si="1" xml:space="preserve"> B$2 &amp;  "." &amp; B9 &amp; " = request." &amp; B9 &amp; " ?? " &amp; B$2 &amp; ".Title;"</f>
        <v>page.Description = request.Description ?? page.Title;</v>
      </c>
    </row>
    <row r="10" spans="1:12" x14ac:dyDescent="0.25">
      <c r="B10" t="s">
        <v>3</v>
      </c>
      <c r="C10" t="s">
        <v>8</v>
      </c>
      <c r="D10" t="str">
        <f t="shared" si="0"/>
        <v xml:space="preserve">        public string CategoryId { get; set; }</v>
      </c>
      <c r="G10" s="8"/>
      <c r="J10" t="str">
        <f t="shared" si="1"/>
        <v>page.CategoryId = request.CategoryId ?? page.Title;</v>
      </c>
    </row>
    <row r="11" spans="1:12" x14ac:dyDescent="0.25">
      <c r="B11" t="s">
        <v>4</v>
      </c>
      <c r="C11" t="s">
        <v>8</v>
      </c>
      <c r="D11" t="str">
        <f t="shared" si="0"/>
        <v xml:space="preserve">        public string URLTitle { get; set; }</v>
      </c>
      <c r="G11" s="8"/>
      <c r="J11" t="str">
        <f t="shared" si="1"/>
        <v>page.URLTitle = request.URLTitle ?? page.Title;</v>
      </c>
    </row>
    <row r="12" spans="1:12" x14ac:dyDescent="0.25">
      <c r="B12" t="s">
        <v>5</v>
      </c>
      <c r="C12" t="s">
        <v>8</v>
      </c>
      <c r="D12" t="str">
        <f t="shared" si="0"/>
        <v xml:space="preserve">        public string PageHtml { get; set; }</v>
      </c>
      <c r="G12" s="8"/>
      <c r="J12" t="str">
        <f t="shared" si="1"/>
        <v>page.PageHtml = request.PageHtml ?? page.Title;</v>
      </c>
    </row>
    <row r="13" spans="1:12" x14ac:dyDescent="0.25">
      <c r="D13" t="str">
        <f t="shared" si="0"/>
        <v xml:space="preserve">        public   { get; set; }</v>
      </c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Application.Pages
{
    public class List
    {
        public class Query : IRequest&lt;List&lt;Domain.Page&gt;&gt; { }
        public class Handler : IRequestHandler&lt;Query, List&lt;Domain.Page&gt;&gt;
        {
            private readonly DataContext _context;
            public Handler(DataContext context)
            {
                _context = context;
            }
            public async Task&lt;List&lt;Domain.Page&gt;&gt; Handle(Query request, CancellationToken cancellationToken)
            {
                var pages = await _context.Pages
                    .ToListAsync();
                return pages;
            }
        }
    }
}
</v>
      </c>
    </row>
    <row r="16" spans="1:12" ht="409.5" x14ac:dyDescent="0.25">
      <c r="D16" s="7" t="s">
        <v>15</v>
      </c>
      <c r="G16" s="12" t="s">
        <v>16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3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7" t="s">
        <v>27</v>
      </c>
      <c r="D2" s="17"/>
    </row>
    <row r="3" spans="1:12" x14ac:dyDescent="0.25">
      <c r="B3" s="14" t="s">
        <v>14</v>
      </c>
      <c r="C3" s="17" t="s">
        <v>28</v>
      </c>
      <c r="D3" s="17"/>
    </row>
    <row r="4" spans="1:12" x14ac:dyDescent="0.25">
      <c r="B4" s="14" t="s">
        <v>33</v>
      </c>
      <c r="C4" s="17" t="s">
        <v>34</v>
      </c>
      <c r="D4" s="17"/>
      <c r="E4" s="14" t="s">
        <v>42</v>
      </c>
      <c r="F4" s="15" t="str">
        <f>B9</f>
        <v>Title</v>
      </c>
    </row>
    <row r="5" spans="1:12" x14ac:dyDescent="0.25">
      <c r="B5" s="14" t="s">
        <v>36</v>
      </c>
      <c r="C5" s="18" t="s">
        <v>35</v>
      </c>
      <c r="D5" s="18"/>
      <c r="E5" s="14" t="s">
        <v>37</v>
      </c>
      <c r="F5" s="15" t="s">
        <v>44</v>
      </c>
      <c r="G5" s="14" t="s">
        <v>38</v>
      </c>
      <c r="H5" s="15" t="s">
        <v>43</v>
      </c>
    </row>
    <row r="6" spans="1:12" x14ac:dyDescent="0.25">
      <c r="B6" s="13"/>
      <c r="D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45</v>
      </c>
      <c r="F7" t="s">
        <v>41</v>
      </c>
      <c r="I7" t="s">
        <v>39</v>
      </c>
      <c r="J7" t="s">
        <v>46</v>
      </c>
    </row>
    <row r="8" spans="1:12" x14ac:dyDescent="0.25">
      <c r="B8" t="s">
        <v>0</v>
      </c>
      <c r="C8" t="s">
        <v>7</v>
      </c>
      <c r="E8" t="s">
        <v>8</v>
      </c>
      <c r="I8" t="s">
        <v>39</v>
      </c>
      <c r="J8" t="s">
        <v>47</v>
      </c>
    </row>
    <row r="9" spans="1:12" x14ac:dyDescent="0.25">
      <c r="B9" t="s">
        <v>1</v>
      </c>
      <c r="C9" t="s">
        <v>8</v>
      </c>
      <c r="D9" t="s">
        <v>32</v>
      </c>
      <c r="E9" t="s">
        <v>8</v>
      </c>
      <c r="I9" t="s">
        <v>39</v>
      </c>
      <c r="J9" t="s">
        <v>48</v>
      </c>
    </row>
    <row r="10" spans="1:12" x14ac:dyDescent="0.25">
      <c r="B10" t="s">
        <v>2</v>
      </c>
      <c r="C10" t="s">
        <v>8</v>
      </c>
      <c r="D10" t="s">
        <v>32</v>
      </c>
      <c r="E10" t="s">
        <v>8</v>
      </c>
      <c r="I10" t="s">
        <v>39</v>
      </c>
      <c r="J10" t="s">
        <v>49</v>
      </c>
    </row>
    <row r="11" spans="1:12" x14ac:dyDescent="0.25">
      <c r="I11" t="s">
        <v>39</v>
      </c>
      <c r="J11" t="s">
        <v>50</v>
      </c>
    </row>
    <row r="12" spans="1:12" x14ac:dyDescent="0.25">
      <c r="I12" t="s">
        <v>39</v>
      </c>
      <c r="J12" t="s">
        <v>51</v>
      </c>
    </row>
    <row r="13" spans="1:12" x14ac:dyDescent="0.25">
      <c r="I13" t="s">
        <v>39</v>
      </c>
      <c r="J13" t="s">
        <v>52</v>
      </c>
    </row>
    <row r="14" spans="1:12" x14ac:dyDescent="0.25">
      <c r="I14" t="s">
        <v>39</v>
      </c>
      <c r="J14" t="s">
        <v>53</v>
      </c>
    </row>
    <row r="15" spans="1:12" x14ac:dyDescent="0.25">
      <c r="I15" t="s">
        <v>39</v>
      </c>
      <c r="J15" t="s">
        <v>54</v>
      </c>
    </row>
    <row r="16" spans="1:12" x14ac:dyDescent="0.25">
      <c r="I16" t="s">
        <v>39</v>
      </c>
      <c r="J16" t="s">
        <v>55</v>
      </c>
    </row>
    <row r="17" spans="9:10" x14ac:dyDescent="0.25">
      <c r="I17" t="s">
        <v>39</v>
      </c>
      <c r="J17" t="s">
        <v>56</v>
      </c>
    </row>
    <row r="18" spans="9:10" x14ac:dyDescent="0.25">
      <c r="I18" t="s">
        <v>39</v>
      </c>
      <c r="J18" t="s">
        <v>57</v>
      </c>
    </row>
    <row r="19" spans="9:10" x14ac:dyDescent="0.25">
      <c r="I19" t="s">
        <v>39</v>
      </c>
      <c r="J19" t="s">
        <v>58</v>
      </c>
    </row>
    <row r="21" spans="9:10" x14ac:dyDescent="0.25">
      <c r="I21" t="s">
        <v>59</v>
      </c>
      <c r="J21" t="s">
        <v>60</v>
      </c>
    </row>
    <row r="22" spans="9:10" x14ac:dyDescent="0.25">
      <c r="I22" t="s">
        <v>59</v>
      </c>
      <c r="J22" t="s">
        <v>60</v>
      </c>
    </row>
    <row r="23" spans="9:10" x14ac:dyDescent="0.25">
      <c r="I23" t="s">
        <v>59</v>
      </c>
      <c r="J23" t="s">
        <v>61</v>
      </c>
    </row>
  </sheetData>
  <mergeCells count="4">
    <mergeCell ref="C4:D4"/>
    <mergeCell ref="C5:D5"/>
    <mergeCell ref="C2:D2"/>
    <mergeCell ref="C3:D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5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7" t="s">
        <v>24</v>
      </c>
      <c r="D2" s="17"/>
    </row>
    <row r="3" spans="1:12" x14ac:dyDescent="0.25">
      <c r="B3" s="14" t="s">
        <v>14</v>
      </c>
      <c r="C3" s="17" t="s">
        <v>25</v>
      </c>
      <c r="D3" s="17"/>
    </row>
    <row r="4" spans="1:12" x14ac:dyDescent="0.25">
      <c r="B4" s="14" t="s">
        <v>33</v>
      </c>
      <c r="C4" s="17" t="s">
        <v>34</v>
      </c>
      <c r="D4" s="17"/>
      <c r="E4" s="14" t="s">
        <v>42</v>
      </c>
      <c r="F4" s="15" t="str">
        <f>B9</f>
        <v>Supplier</v>
      </c>
    </row>
    <row r="5" spans="1:12" x14ac:dyDescent="0.25">
      <c r="B5" s="14" t="s">
        <v>36</v>
      </c>
      <c r="C5" s="18" t="s">
        <v>35</v>
      </c>
      <c r="D5" s="18"/>
      <c r="E5" s="14" t="s">
        <v>37</v>
      </c>
      <c r="F5" s="15" t="s">
        <v>44</v>
      </c>
      <c r="G5" s="14" t="s">
        <v>38</v>
      </c>
      <c r="H5" s="15" t="s">
        <v>43</v>
      </c>
    </row>
    <row r="6" spans="1:12" x14ac:dyDescent="0.25">
      <c r="B6" s="13"/>
      <c r="D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64</v>
      </c>
      <c r="F7" t="s">
        <v>45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</row>
    <row r="9" spans="1:12" x14ac:dyDescent="0.25">
      <c r="B9" t="s">
        <v>62</v>
      </c>
      <c r="C9" t="s">
        <v>63</v>
      </c>
      <c r="D9" t="s">
        <v>32</v>
      </c>
      <c r="E9" t="s">
        <v>62</v>
      </c>
      <c r="F9" t="s">
        <v>8</v>
      </c>
    </row>
    <row r="10" spans="1:12" x14ac:dyDescent="0.25">
      <c r="B10" t="s">
        <v>2</v>
      </c>
      <c r="C10" t="s">
        <v>8</v>
      </c>
      <c r="D10" t="s">
        <v>32</v>
      </c>
      <c r="E10" t="s">
        <v>2</v>
      </c>
      <c r="F10" t="s">
        <v>8</v>
      </c>
    </row>
    <row r="22" spans="2:2" x14ac:dyDescent="0.25">
      <c r="B22" t="s">
        <v>65</v>
      </c>
    </row>
    <row r="23" spans="2:2" x14ac:dyDescent="0.25">
      <c r="B23" t="s">
        <v>66</v>
      </c>
    </row>
    <row r="24" spans="2:2" x14ac:dyDescent="0.25">
      <c r="B24" t="s">
        <v>67</v>
      </c>
    </row>
    <row r="25" spans="2:2" x14ac:dyDescent="0.25">
      <c r="B25" t="s">
        <v>68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1"/>
  <sheetViews>
    <sheetView workbookViewId="0">
      <selection activeCell="B12" sqref="B12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7" t="s">
        <v>24</v>
      </c>
      <c r="D2" s="17"/>
    </row>
    <row r="3" spans="1:12" x14ac:dyDescent="0.25">
      <c r="B3" s="14" t="s">
        <v>14</v>
      </c>
      <c r="C3" s="17" t="s">
        <v>25</v>
      </c>
      <c r="D3" s="17"/>
    </row>
    <row r="4" spans="1:12" x14ac:dyDescent="0.25">
      <c r="B4" s="14" t="s">
        <v>33</v>
      </c>
      <c r="C4" s="17" t="s">
        <v>34</v>
      </c>
      <c r="D4" s="17"/>
      <c r="E4" s="14" t="s">
        <v>42</v>
      </c>
      <c r="F4" s="15" t="e">
        <f>#REF!</f>
        <v>#REF!</v>
      </c>
    </row>
    <row r="5" spans="1:12" x14ac:dyDescent="0.25">
      <c r="B5" s="14" t="s">
        <v>36</v>
      </c>
      <c r="C5" s="18" t="s">
        <v>35</v>
      </c>
      <c r="D5" s="18"/>
      <c r="E5" s="14" t="s">
        <v>37</v>
      </c>
      <c r="F5" s="15" t="s">
        <v>44</v>
      </c>
      <c r="G5" s="14" t="s">
        <v>38</v>
      </c>
      <c r="H5" s="15" t="s">
        <v>43</v>
      </c>
    </row>
    <row r="6" spans="1:12" x14ac:dyDescent="0.25">
      <c r="B6" s="13"/>
      <c r="D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64</v>
      </c>
      <c r="F7" t="s">
        <v>45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</row>
    <row r="9" spans="1:12" x14ac:dyDescent="0.25">
      <c r="B9" t="s">
        <v>66</v>
      </c>
      <c r="C9" t="s">
        <v>69</v>
      </c>
      <c r="D9" t="s">
        <v>32</v>
      </c>
      <c r="E9" t="s">
        <v>66</v>
      </c>
      <c r="F9" t="s">
        <v>69</v>
      </c>
    </row>
    <row r="10" spans="1:12" x14ac:dyDescent="0.25">
      <c r="B10" t="s">
        <v>67</v>
      </c>
      <c r="C10" t="s">
        <v>69</v>
      </c>
      <c r="D10" t="s">
        <v>32</v>
      </c>
      <c r="E10" t="s">
        <v>67</v>
      </c>
      <c r="F10" t="s">
        <v>69</v>
      </c>
    </row>
    <row r="11" spans="1:12" x14ac:dyDescent="0.25">
      <c r="B11" t="s">
        <v>68</v>
      </c>
      <c r="C11" t="s">
        <v>8</v>
      </c>
      <c r="D11" t="s">
        <v>32</v>
      </c>
      <c r="E11" t="s">
        <v>68</v>
      </c>
      <c r="F11" t="s">
        <v>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0"/>
  <sheetViews>
    <sheetView tabSelected="1" workbookViewId="0">
      <selection activeCell="C14" sqref="C14"/>
    </sheetView>
  </sheetViews>
  <sheetFormatPr defaultRowHeight="15" x14ac:dyDescent="0.25"/>
  <cols>
    <col min="1" max="1" width="2.42578125" customWidth="1"/>
    <col min="2" max="2" width="16" bestFit="1" customWidth="1"/>
    <col min="3" max="3" width="35.7109375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7" t="s">
        <v>84</v>
      </c>
      <c r="D2" s="17"/>
    </row>
    <row r="3" spans="1:12" x14ac:dyDescent="0.25">
      <c r="B3" s="14" t="s">
        <v>14</v>
      </c>
      <c r="C3" s="17" t="s">
        <v>85</v>
      </c>
      <c r="D3" s="17"/>
    </row>
    <row r="4" spans="1:12" x14ac:dyDescent="0.25">
      <c r="B4" s="14" t="s">
        <v>33</v>
      </c>
      <c r="C4" s="17" t="s">
        <v>34</v>
      </c>
      <c r="D4" s="17"/>
      <c r="E4" s="14" t="s">
        <v>42</v>
      </c>
      <c r="F4" s="15" t="str">
        <f>B9</f>
        <v>Reseller</v>
      </c>
    </row>
    <row r="5" spans="1:12" x14ac:dyDescent="0.25">
      <c r="B5" s="14" t="s">
        <v>36</v>
      </c>
      <c r="C5" s="18" t="s">
        <v>35</v>
      </c>
      <c r="D5" s="18"/>
      <c r="E5" s="14" t="s">
        <v>37</v>
      </c>
      <c r="F5" s="15" t="s">
        <v>44</v>
      </c>
      <c r="G5" s="14" t="s">
        <v>38</v>
      </c>
      <c r="H5" s="15" t="s">
        <v>43</v>
      </c>
    </row>
    <row r="6" spans="1:12" x14ac:dyDescent="0.25">
      <c r="B6" s="13"/>
      <c r="D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45</v>
      </c>
      <c r="F7" t="s">
        <v>109</v>
      </c>
      <c r="I7" t="s">
        <v>39</v>
      </c>
      <c r="J7" t="s">
        <v>125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39</v>
      </c>
      <c r="J8" t="s">
        <v>126</v>
      </c>
    </row>
    <row r="9" spans="1:12" x14ac:dyDescent="0.25">
      <c r="B9" t="s">
        <v>70</v>
      </c>
      <c r="C9" t="s">
        <v>106</v>
      </c>
      <c r="D9" t="s">
        <v>32</v>
      </c>
      <c r="E9" t="s">
        <v>70</v>
      </c>
      <c r="F9" t="s">
        <v>8</v>
      </c>
      <c r="I9" t="s">
        <v>39</v>
      </c>
      <c r="J9" t="s">
        <v>127</v>
      </c>
    </row>
    <row r="10" spans="1:12" x14ac:dyDescent="0.25">
      <c r="B10" t="s">
        <v>62</v>
      </c>
      <c r="C10" t="s">
        <v>106</v>
      </c>
      <c r="D10" t="s">
        <v>32</v>
      </c>
      <c r="E10" t="s">
        <v>62</v>
      </c>
      <c r="F10" t="s">
        <v>8</v>
      </c>
      <c r="I10" t="s">
        <v>39</v>
      </c>
      <c r="J10" t="s">
        <v>128</v>
      </c>
    </row>
    <row r="11" spans="1:12" x14ac:dyDescent="0.25">
      <c r="B11" t="s">
        <v>71</v>
      </c>
      <c r="C11" t="s">
        <v>107</v>
      </c>
      <c r="D11" t="s">
        <v>32</v>
      </c>
      <c r="E11" t="s">
        <v>71</v>
      </c>
      <c r="F11" t="s">
        <v>8</v>
      </c>
      <c r="I11" t="s">
        <v>39</v>
      </c>
      <c r="J11" t="s">
        <v>129</v>
      </c>
    </row>
    <row r="12" spans="1:12" x14ac:dyDescent="0.25">
      <c r="B12" t="s">
        <v>72</v>
      </c>
      <c r="C12" t="s">
        <v>136</v>
      </c>
      <c r="D12" t="s">
        <v>32</v>
      </c>
      <c r="E12" t="s">
        <v>72</v>
      </c>
      <c r="F12" t="s">
        <v>73</v>
      </c>
      <c r="I12" t="s">
        <v>39</v>
      </c>
      <c r="J12" t="s">
        <v>130</v>
      </c>
    </row>
    <row r="13" spans="1:12" x14ac:dyDescent="0.25">
      <c r="B13" t="s">
        <v>74</v>
      </c>
      <c r="C13" t="s">
        <v>8</v>
      </c>
      <c r="D13" t="s">
        <v>32</v>
      </c>
      <c r="E13" t="s">
        <v>74</v>
      </c>
      <c r="F13" t="s">
        <v>8</v>
      </c>
      <c r="I13" t="s">
        <v>39</v>
      </c>
      <c r="J13" t="s">
        <v>131</v>
      </c>
    </row>
    <row r="14" spans="1:12" x14ac:dyDescent="0.25">
      <c r="B14" t="s">
        <v>75</v>
      </c>
      <c r="C14" t="s">
        <v>8</v>
      </c>
      <c r="E14" t="s">
        <v>75</v>
      </c>
      <c r="F14" t="s">
        <v>8</v>
      </c>
      <c r="I14" t="s">
        <v>39</v>
      </c>
      <c r="J14" t="s">
        <v>132</v>
      </c>
    </row>
    <row r="15" spans="1:12" x14ac:dyDescent="0.25">
      <c r="B15" t="s">
        <v>76</v>
      </c>
      <c r="C15" t="s">
        <v>8</v>
      </c>
      <c r="D15" t="s">
        <v>32</v>
      </c>
      <c r="E15" t="s">
        <v>76</v>
      </c>
      <c r="F15" t="s">
        <v>8</v>
      </c>
      <c r="I15" t="s">
        <v>39</v>
      </c>
      <c r="J15" t="s">
        <v>133</v>
      </c>
    </row>
    <row r="16" spans="1:12" x14ac:dyDescent="0.25">
      <c r="B16" t="s">
        <v>77</v>
      </c>
      <c r="C16" t="s">
        <v>8</v>
      </c>
      <c r="D16" t="s">
        <v>32</v>
      </c>
      <c r="E16" t="s">
        <v>77</v>
      </c>
      <c r="F16" t="s">
        <v>8</v>
      </c>
      <c r="I16" t="s">
        <v>39</v>
      </c>
      <c r="J16" t="s">
        <v>134</v>
      </c>
    </row>
    <row r="17" spans="2:10" x14ac:dyDescent="0.25">
      <c r="B17" t="s">
        <v>78</v>
      </c>
      <c r="C17" t="s">
        <v>8</v>
      </c>
      <c r="E17" t="s">
        <v>78</v>
      </c>
      <c r="F17" t="s">
        <v>8</v>
      </c>
      <c r="I17" t="s">
        <v>39</v>
      </c>
      <c r="J17" t="s">
        <v>135</v>
      </c>
    </row>
    <row r="18" spans="2:10" x14ac:dyDescent="0.25">
      <c r="B18" t="s">
        <v>108</v>
      </c>
      <c r="C18" t="s">
        <v>124</v>
      </c>
      <c r="E18" t="s">
        <v>108</v>
      </c>
      <c r="F18" t="s">
        <v>122</v>
      </c>
    </row>
    <row r="19" spans="2:10" x14ac:dyDescent="0.25">
      <c r="I19" t="s">
        <v>59</v>
      </c>
      <c r="J19" t="s">
        <v>60</v>
      </c>
    </row>
    <row r="20" spans="2:10" x14ac:dyDescent="0.25">
      <c r="I20" t="s">
        <v>59</v>
      </c>
      <c r="J20" t="s">
        <v>105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0"/>
  <sheetViews>
    <sheetView workbookViewId="0">
      <selection activeCell="E24" sqref="E24"/>
    </sheetView>
  </sheetViews>
  <sheetFormatPr defaultRowHeight="15" x14ac:dyDescent="0.25"/>
  <cols>
    <col min="1" max="1" width="2.42578125" customWidth="1"/>
    <col min="2" max="2" width="14.85546875" bestFit="1" customWidth="1"/>
    <col min="3" max="3" width="36" bestFit="1" customWidth="1"/>
    <col min="4" max="4" width="14" customWidth="1"/>
    <col min="5" max="5" width="17.42578125" bestFit="1" customWidth="1"/>
    <col min="6" max="6" width="45.7109375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7" t="s">
        <v>82</v>
      </c>
      <c r="D2" s="17"/>
    </row>
    <row r="3" spans="1:12" x14ac:dyDescent="0.25">
      <c r="B3" s="14" t="s">
        <v>14</v>
      </c>
      <c r="C3" s="17" t="s">
        <v>83</v>
      </c>
      <c r="D3" s="17"/>
    </row>
    <row r="4" spans="1:12" x14ac:dyDescent="0.25">
      <c r="B4" s="14" t="s">
        <v>33</v>
      </c>
      <c r="C4" s="17" t="s">
        <v>34</v>
      </c>
      <c r="D4" s="17"/>
      <c r="E4" s="14" t="s">
        <v>42</v>
      </c>
      <c r="F4" s="15" t="str">
        <f>B10</f>
        <v>Action</v>
      </c>
    </row>
    <row r="5" spans="1:12" x14ac:dyDescent="0.25">
      <c r="B5" s="14" t="s">
        <v>36</v>
      </c>
      <c r="C5" s="18" t="s">
        <v>35</v>
      </c>
      <c r="D5" s="18"/>
      <c r="E5" s="14" t="s">
        <v>37</v>
      </c>
      <c r="F5" s="15" t="s">
        <v>44</v>
      </c>
      <c r="G5" s="14" t="s">
        <v>38</v>
      </c>
      <c r="H5" s="15" t="s">
        <v>43</v>
      </c>
    </row>
    <row r="6" spans="1:12" x14ac:dyDescent="0.25">
      <c r="B6" s="13"/>
      <c r="D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91</v>
      </c>
      <c r="F7" t="s">
        <v>45</v>
      </c>
      <c r="I7" t="s">
        <v>39</v>
      </c>
      <c r="J7" t="s">
        <v>111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39</v>
      </c>
      <c r="J8" t="s">
        <v>112</v>
      </c>
    </row>
    <row r="9" spans="1:12" x14ac:dyDescent="0.25">
      <c r="B9" t="s">
        <v>79</v>
      </c>
      <c r="C9" t="s">
        <v>69</v>
      </c>
      <c r="D9" t="s">
        <v>32</v>
      </c>
      <c r="E9" t="s">
        <v>79</v>
      </c>
      <c r="F9" t="s">
        <v>8</v>
      </c>
      <c r="I9" t="s">
        <v>39</v>
      </c>
      <c r="J9" t="s">
        <v>113</v>
      </c>
    </row>
    <row r="10" spans="1:12" x14ac:dyDescent="0.25">
      <c r="B10" t="s">
        <v>80</v>
      </c>
      <c r="C10" t="s">
        <v>8</v>
      </c>
      <c r="D10" t="s">
        <v>32</v>
      </c>
      <c r="E10" t="s">
        <v>80</v>
      </c>
      <c r="F10" t="s">
        <v>8</v>
      </c>
      <c r="I10" t="s">
        <v>39</v>
      </c>
      <c r="J10" t="s">
        <v>114</v>
      </c>
    </row>
    <row r="11" spans="1:12" x14ac:dyDescent="0.25">
      <c r="B11" t="s">
        <v>81</v>
      </c>
      <c r="C11" t="s">
        <v>8</v>
      </c>
      <c r="D11" t="s">
        <v>32</v>
      </c>
      <c r="E11" t="s">
        <v>81</v>
      </c>
      <c r="F11" t="s">
        <v>8</v>
      </c>
      <c r="I11" t="s">
        <v>39</v>
      </c>
      <c r="J11" t="s">
        <v>115</v>
      </c>
    </row>
    <row r="12" spans="1:12" x14ac:dyDescent="0.25">
      <c r="B12" t="s">
        <v>86</v>
      </c>
      <c r="C12" t="s">
        <v>123</v>
      </c>
      <c r="E12" t="s">
        <v>86</v>
      </c>
      <c r="F12" t="s">
        <v>110</v>
      </c>
      <c r="I12" t="s">
        <v>39</v>
      </c>
      <c r="J12" t="s">
        <v>116</v>
      </c>
    </row>
    <row r="13" spans="1:12" x14ac:dyDescent="0.25">
      <c r="I13" t="s">
        <v>39</v>
      </c>
      <c r="J13" t="s">
        <v>117</v>
      </c>
    </row>
    <row r="14" spans="1:12" x14ac:dyDescent="0.25">
      <c r="I14" t="s">
        <v>39</v>
      </c>
      <c r="J14" t="s">
        <v>118</v>
      </c>
    </row>
    <row r="15" spans="1:12" x14ac:dyDescent="0.25">
      <c r="I15" t="s">
        <v>39</v>
      </c>
      <c r="J15" t="s">
        <v>119</v>
      </c>
    </row>
    <row r="16" spans="1:12" x14ac:dyDescent="0.25">
      <c r="I16" t="s">
        <v>39</v>
      </c>
      <c r="J16" t="s">
        <v>120</v>
      </c>
    </row>
    <row r="17" spans="9:10" x14ac:dyDescent="0.25">
      <c r="I17" t="s">
        <v>39</v>
      </c>
      <c r="J17" t="s">
        <v>121</v>
      </c>
    </row>
    <row r="19" spans="9:10" x14ac:dyDescent="0.25">
      <c r="I19" t="s">
        <v>59</v>
      </c>
      <c r="J19" t="s">
        <v>60</v>
      </c>
    </row>
    <row r="20" spans="9:10" x14ac:dyDescent="0.25">
      <c r="I20" t="s">
        <v>59</v>
      </c>
      <c r="J20" t="s">
        <v>105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2"/>
  <sheetViews>
    <sheetView workbookViewId="0">
      <selection activeCell="C2" sqref="C2:D2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7" t="s">
        <v>87</v>
      </c>
      <c r="D2" s="17"/>
    </row>
    <row r="3" spans="1:12" x14ac:dyDescent="0.25">
      <c r="B3" s="14" t="s">
        <v>14</v>
      </c>
      <c r="C3" s="17" t="s">
        <v>90</v>
      </c>
      <c r="D3" s="17"/>
    </row>
    <row r="4" spans="1:12" x14ac:dyDescent="0.25">
      <c r="B4" s="14" t="s">
        <v>33</v>
      </c>
      <c r="C4" s="17" t="s">
        <v>34</v>
      </c>
      <c r="D4" s="17"/>
      <c r="E4" s="14" t="s">
        <v>42</v>
      </c>
      <c r="F4" s="16" t="str">
        <f>B10</f>
        <v>AttachmentType</v>
      </c>
    </row>
    <row r="5" spans="1:12" x14ac:dyDescent="0.25">
      <c r="B5" s="14" t="s">
        <v>36</v>
      </c>
      <c r="C5" s="17" t="s">
        <v>35</v>
      </c>
      <c r="D5" s="17"/>
      <c r="E5" s="14" t="s">
        <v>37</v>
      </c>
      <c r="F5" s="16" t="s">
        <v>44</v>
      </c>
      <c r="G5" s="14" t="s">
        <v>38</v>
      </c>
      <c r="H5" s="16" t="s">
        <v>43</v>
      </c>
    </row>
    <row r="6" spans="1:12" x14ac:dyDescent="0.25">
      <c r="B6" s="13"/>
      <c r="D6" s="13"/>
      <c r="H6" s="16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91</v>
      </c>
      <c r="F7" t="s">
        <v>45</v>
      </c>
      <c r="I7" t="s">
        <v>39</v>
      </c>
      <c r="J7" t="s">
        <v>92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39</v>
      </c>
      <c r="J8" t="s">
        <v>93</v>
      </c>
    </row>
    <row r="9" spans="1:12" x14ac:dyDescent="0.25">
      <c r="B9" t="s">
        <v>88</v>
      </c>
      <c r="C9" t="s">
        <v>8</v>
      </c>
      <c r="D9" t="s">
        <v>32</v>
      </c>
      <c r="E9" t="s">
        <v>88</v>
      </c>
      <c r="F9" t="s">
        <v>8</v>
      </c>
      <c r="I9" t="s">
        <v>39</v>
      </c>
      <c r="J9" t="s">
        <v>94</v>
      </c>
    </row>
    <row r="10" spans="1:12" x14ac:dyDescent="0.25">
      <c r="B10" t="s">
        <v>89</v>
      </c>
      <c r="C10" t="s">
        <v>8</v>
      </c>
      <c r="D10" t="s">
        <v>32</v>
      </c>
      <c r="E10" t="s">
        <v>89</v>
      </c>
      <c r="F10" t="s">
        <v>8</v>
      </c>
      <c r="I10" t="s">
        <v>39</v>
      </c>
      <c r="J10" t="s">
        <v>95</v>
      </c>
    </row>
    <row r="11" spans="1:12" x14ac:dyDescent="0.25">
      <c r="I11" t="s">
        <v>39</v>
      </c>
      <c r="J11" t="s">
        <v>96</v>
      </c>
    </row>
    <row r="12" spans="1:12" x14ac:dyDescent="0.25">
      <c r="I12" t="s">
        <v>39</v>
      </c>
      <c r="J12" t="s">
        <v>97</v>
      </c>
    </row>
    <row r="13" spans="1:12" x14ac:dyDescent="0.25">
      <c r="I13" t="s">
        <v>39</v>
      </c>
      <c r="J13" t="s">
        <v>98</v>
      </c>
    </row>
    <row r="14" spans="1:12" x14ac:dyDescent="0.25">
      <c r="I14" t="s">
        <v>39</v>
      </c>
      <c r="J14" t="s">
        <v>99</v>
      </c>
    </row>
    <row r="15" spans="1:12" x14ac:dyDescent="0.25">
      <c r="I15" t="s">
        <v>39</v>
      </c>
      <c r="J15" t="s">
        <v>100</v>
      </c>
    </row>
    <row r="16" spans="1:12" x14ac:dyDescent="0.25">
      <c r="I16" t="s">
        <v>39</v>
      </c>
      <c r="J16" t="s">
        <v>101</v>
      </c>
    </row>
    <row r="17" spans="9:10" x14ac:dyDescent="0.25">
      <c r="I17" t="s">
        <v>39</v>
      </c>
      <c r="J17" t="s">
        <v>102</v>
      </c>
    </row>
    <row r="18" spans="9:10" x14ac:dyDescent="0.25">
      <c r="I18" t="s">
        <v>39</v>
      </c>
      <c r="J18" t="s">
        <v>103</v>
      </c>
    </row>
    <row r="19" spans="9:10" x14ac:dyDescent="0.25">
      <c r="I19" t="s">
        <v>39</v>
      </c>
      <c r="J19" t="s">
        <v>104</v>
      </c>
    </row>
    <row r="21" spans="9:10" x14ac:dyDescent="0.25">
      <c r="I21" t="s">
        <v>59</v>
      </c>
      <c r="J21" t="s">
        <v>60</v>
      </c>
    </row>
    <row r="22" spans="9:10" x14ac:dyDescent="0.25">
      <c r="I22" t="s">
        <v>59</v>
      </c>
      <c r="J22" t="s">
        <v>105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Category</vt:lpstr>
      <vt:lpstr>page</vt:lpstr>
      <vt:lpstr>TestApp</vt:lpstr>
      <vt:lpstr>UserSupplier</vt:lpstr>
      <vt:lpstr>TimeTable</vt:lpstr>
      <vt:lpstr>OrderMaster</vt:lpstr>
      <vt:lpstr>OrderTransactions</vt:lpstr>
      <vt:lpstr>OrderAttachments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2020-04-21T06:12:40Z</dcterms:created>
  <dcterms:modified xsi:type="dcterms:W3CDTF">2020-06-22T13:50:59Z</dcterms:modified>
</cp:coreProperties>
</file>